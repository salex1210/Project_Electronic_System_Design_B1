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reouisedu-my.sharepoint.com/personal/gerson2192987_correo_uis_edu_co/Documents/Documents/2025-1/DISEÑO DE CIRCUITOS ELECTRONICOS/Project_Electronic_System_Design_B1/"/>
    </mc:Choice>
  </mc:AlternateContent>
  <xr:revisionPtr revIDLastSave="0" documentId="13_ncr:1_{B20F3C4A-BFE0-4B75-B90D-D2A2AA429ECA}" xr6:coauthVersionLast="47" xr6:coauthVersionMax="47" xr10:uidLastSave="{00000000-0000-0000-0000-000000000000}"/>
  <bookViews>
    <workbookView xWindow="-120" yWindow="-120" windowWidth="20730" windowHeight="11160" activeTab="2" xr2:uid="{A5F64801-BEB3-4D43-87F9-B20DBC046FC1}"/>
  </bookViews>
  <sheets>
    <sheet name="Hoja1" sheetId="1" r:id="rId1"/>
    <sheet name="Hoja1 (2)" sheetId="2" r:id="rId2"/>
    <sheet name="V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3" l="1"/>
  <c r="J18" i="3"/>
  <c r="J19" i="3"/>
  <c r="J13" i="3"/>
  <c r="H13" i="3"/>
  <c r="J12" i="3"/>
  <c r="H12" i="3"/>
  <c r="J11" i="3"/>
  <c r="H11" i="3"/>
  <c r="J10" i="3"/>
  <c r="H10" i="3"/>
  <c r="J9" i="3"/>
  <c r="H9" i="3"/>
  <c r="J8" i="3"/>
  <c r="H8" i="3"/>
  <c r="J7" i="3"/>
  <c r="H7" i="3"/>
  <c r="J6" i="3"/>
  <c r="H6" i="3"/>
  <c r="J5" i="3"/>
  <c r="H5" i="3"/>
  <c r="J4" i="3"/>
  <c r="H4" i="3"/>
  <c r="H18" i="2"/>
  <c r="J18" i="2"/>
  <c r="H9" i="2"/>
  <c r="H10" i="2"/>
  <c r="H11" i="2"/>
  <c r="H12" i="2"/>
  <c r="H13" i="2"/>
  <c r="H14" i="2"/>
  <c r="H15" i="2"/>
  <c r="H16" i="2"/>
  <c r="H17" i="2"/>
  <c r="J9" i="2"/>
  <c r="J10" i="2"/>
  <c r="J11" i="2"/>
  <c r="J12" i="2"/>
  <c r="J13" i="2"/>
  <c r="J14" i="2"/>
  <c r="J15" i="2"/>
  <c r="J16" i="2"/>
  <c r="J17" i="2"/>
  <c r="J11" i="1"/>
  <c r="J12" i="1"/>
  <c r="J13" i="1"/>
  <c r="J14" i="1"/>
  <c r="J8" i="2"/>
  <c r="H8" i="2"/>
  <c r="J7" i="2"/>
  <c r="H7" i="2"/>
  <c r="J6" i="2"/>
  <c r="H6" i="2"/>
  <c r="J5" i="2"/>
  <c r="H5" i="2"/>
  <c r="J4" i="2"/>
  <c r="H4" i="2"/>
  <c r="H12" i="1"/>
  <c r="H13" i="1"/>
  <c r="H14" i="1"/>
  <c r="J9" i="1"/>
  <c r="J10" i="1"/>
  <c r="H9" i="1"/>
  <c r="H10" i="1"/>
  <c r="H11" i="1"/>
  <c r="H5" i="1"/>
  <c r="J5" i="1"/>
  <c r="H6" i="1"/>
  <c r="J6" i="1"/>
  <c r="H7" i="1"/>
  <c r="J7" i="1"/>
  <c r="H8" i="1"/>
  <c r="J8" i="1"/>
  <c r="H4" i="1"/>
  <c r="J4" i="1"/>
  <c r="J15" i="1" s="1"/>
  <c r="H15" i="1" l="1"/>
  <c r="H16" i="1" s="1"/>
  <c r="H14" i="3"/>
  <c r="H16" i="3" s="1"/>
  <c r="J14" i="3"/>
  <c r="J15" i="3" s="1"/>
  <c r="H19" i="2"/>
  <c r="H20" i="2" s="1"/>
  <c r="J19" i="2"/>
  <c r="J20" i="2" s="1"/>
  <c r="J16" i="1"/>
  <c r="H17" i="3" l="1"/>
  <c r="J16" i="3"/>
  <c r="H20" i="3"/>
  <c r="H15" i="3"/>
  <c r="J17" i="3" l="1"/>
  <c r="H21" i="3"/>
</calcChain>
</file>

<file path=xl/sharedStrings.xml><?xml version="1.0" encoding="utf-8"?>
<sst xmlns="http://schemas.openxmlformats.org/spreadsheetml/2006/main" count="104" uniqueCount="54">
  <si>
    <t>Presupuesto Proyecto</t>
  </si>
  <si>
    <t>Elemento</t>
  </si>
  <si>
    <t>Unidades</t>
  </si>
  <si>
    <t>Precio U.</t>
  </si>
  <si>
    <t>Total</t>
  </si>
  <si>
    <t>LTC2644IMS-L12#PBF</t>
  </si>
  <si>
    <t>Utilizados</t>
  </si>
  <si>
    <t>Total Utilizados</t>
  </si>
  <si>
    <t>Total Proyecto</t>
  </si>
  <si>
    <t>Link</t>
  </si>
  <si>
    <t>https://co.mouser.com/ProductDetail/Analog-Devices/LTC2644IMS-L12PBF?qs=hVkxg5c3xu%252BwxghzaVh9wg%3D%3D</t>
  </si>
  <si>
    <t>MAX1044/ICL7660</t>
  </si>
  <si>
    <t>https://co.mouser.com/ProductDetail/Analog-Devices-Maxim-Integrated/MAX1044CPA%2b?qs=0Y9aZN%252BMVCXfHpZN39Twfg%3D%3D</t>
  </si>
  <si>
    <t>https://co.mouser.com/ProductDetail/KYOCERA-AVX/KAM21BR71H104JT?qs=Jm2GQyTW%2Fbic6Zk4McEt6w%3D%3D</t>
  </si>
  <si>
    <t>TL081HIDR</t>
  </si>
  <si>
    <t>https://co.mouser.com/ProductDetail/Texas-Instruments/TL081HIDR?qs=pBJMDPsKWf2IEA%252Bv86wIaw%3D%3D</t>
  </si>
  <si>
    <t>Capacitor 0.1 uf X7R ceramico</t>
  </si>
  <si>
    <t>https://co.mouser.com/ProductDetail/Vishay-Sprague/293D106X0016B2TE3?qs=sGAEpiMZZMtZ1n0r9vR22R2elOEA%2FoPq2SLpF9uzceU%3D</t>
  </si>
  <si>
    <t>https://co.mouser.com/ProductDetail/Vishay-Sprague/TR3B106K025C1300?qs=sGAEpiMZZMtZ1n0r9vR22d2Fi%252BnyBujDcFZb0ob9wLY%3D</t>
  </si>
  <si>
    <t>https://co.mouser.com/ProductDetail/TAIYO-YUDEN/EMK212BB7106KG-T?qs=sGAEpiMZZMsh%252B1woXyUXjydUYsq5p9fhlVOXgjVbyhU%3D</t>
  </si>
  <si>
    <t>Jumper Cap</t>
  </si>
  <si>
    <t>Header 1x2</t>
  </si>
  <si>
    <t>Phoenix Contact 1729128</t>
  </si>
  <si>
    <t>Bornera</t>
  </si>
  <si>
    <t>MCP6002</t>
  </si>
  <si>
    <t>Capacitor 100 uf X7R</t>
  </si>
  <si>
    <t>Resistencia 20k</t>
  </si>
  <si>
    <t>Resistencia 10k</t>
  </si>
  <si>
    <t>https://co.mouser.com/ProductDetail/Panasonic/ERA-8AED203V?qs=MNPzkKEzRtRbjpUZ%2F2QFGA%3D%3D</t>
  </si>
  <si>
    <t>Resistencia 100</t>
  </si>
  <si>
    <t>Capacitor 100 uf</t>
  </si>
  <si>
    <t>Capacitor 0.1 uf</t>
  </si>
  <si>
    <t>https://co.mouser.com/ProductDetail/Murata-Electronics/GRM21BR60G107ME11L?qs=Ey7%2FXF42M3epBQcj%2F9hW%252BQ%3D%3D</t>
  </si>
  <si>
    <t>Resistencia 15k</t>
  </si>
  <si>
    <t>Resistencia 5K</t>
  </si>
  <si>
    <t>https://co.mouser.com/ProductDetail/ROHM-Semiconductor/KTR18EZPJ101?qs=sGAEpiMZZMtlubZbdhIBIGrVcSH3vih4n6aco%252BvIOtw%3D</t>
  </si>
  <si>
    <t>https://co.mouser.com/ProductDetail/YAGEO/RT1206FRE0715KL?qs=fd0Ij%252BN8svyW6WTDZBxZXg%3D%3D</t>
  </si>
  <si>
    <t>https://co.mouser.com/ProductDetail/Amphenol-FCI/10129379-902004BLF?qs=sGAEpiMZZMvlX3nhDDO4AOl4VJGJbPMjDdh4Jc%2FuIMQ%3D</t>
  </si>
  <si>
    <t>https://co.mouser.com/ProductDetail/Amphenol-Anytek/TC0203620000G?qs=sGAEpiMZZMvPvGwLNS671%2FDanv8Jav064A94r%2FM08uUnw66FKOiJMw%3D%3D</t>
  </si>
  <si>
    <t>https://co.mouser.com/ProductDetail/Harwin/M7583-46?qs=7s%252BXa3YB%252ByrDGEF4v%252ByEXg%3D%3D</t>
  </si>
  <si>
    <t>https://co.mouser.com/ProductDetail/KYOCERA-AVX/KAM21BR71H104JT?qs=sGAEpiMZZMukHu%252BjC5l7YcmRMYNDachg8tnLc5V3VCI%3D</t>
  </si>
  <si>
    <t>https://co.mouser.com/ProductDetail/YAGEO/RT1206BRD075KL?qs=8cPjvKtxWv5bP%252BIM%2FRQCeQ%3D%3D</t>
  </si>
  <si>
    <t>https://co.mouser.com/ProductDetail/YAGEO/RT1206FRD0710KL?qs=Fz%2FrpjPuTcHnXCbM3bUnCw%3D%3D</t>
  </si>
  <si>
    <t>https://co.mouser.com/ProductDetail/YAGEO/RT1206FRE07100RL?qs=8cPjvKtxWv7hPIhtALDV2w%3D%3D</t>
  </si>
  <si>
    <t>https://co.mouser.com/ProductDetail/Microchip-Technology/MCP6002-I-SN?qs=cQYLKLPzRJlt69SDaZwGcA%3D%3D</t>
  </si>
  <si>
    <t>https://co.mouser.com/ProductDetail/Renesas-Electronics/PS9851-1-F3-AX?qs=CN%252BGnklfK0oKU9JkAbHdMA%3D%3D</t>
  </si>
  <si>
    <t>PS9851-1-F3-AX</t>
  </si>
  <si>
    <t>Envio</t>
  </si>
  <si>
    <t>grupos</t>
  </si>
  <si>
    <t>Miembros</t>
  </si>
  <si>
    <t>Total Con Envio</t>
  </si>
  <si>
    <t>Pendiente</t>
  </si>
  <si>
    <t>Enviado</t>
  </si>
  <si>
    <t>Total Pendiente por miembro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</si>
</sst>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40A]\ #,##0.00"/>
  </numFmts>
  <fonts count="4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1" fillId="0" borderId="1" xfId="0" applyNumberFormat="1" applyFont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4" borderId="1" xfId="0" applyNumberFormat="1" applyFill="1" applyBorder="1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co.mouser.com/ProductDetail/KYOCERA-AVX/KAM21BR71H104JT?qs=Jm2GQyTW%2Fbic6Zk4McEt6w%3D%3D" TargetMode="External"/><Relationship Id="rId7" Type="http://schemas.openxmlformats.org/officeDocument/2006/relationships/hyperlink" Target="https://co.mouser.com/ProductDetail/TAIYO-YUDEN/EMK212BB7106KG-T?qs=sGAEpiMZZMsh%252B1woXyUXjydUYsq5p9fhlVOXgjVbyhU%3D" TargetMode="External"/><Relationship Id="rId2" Type="http://schemas.openxmlformats.org/officeDocument/2006/relationships/hyperlink" Target="https://co.mouser.com/ProductDetail/Analog-Devices-Maxim-Integrated/MAX1044CPA%2b?qs=0Y9aZN%252BMVCXfHpZN39Twfg%3D%3D" TargetMode="External"/><Relationship Id="rId1" Type="http://schemas.openxmlformats.org/officeDocument/2006/relationships/hyperlink" Target="https://co.mouser.com/ProductDetail/Analog-Devices/LTC2644IMS-L12PBF?qs=hVkxg5c3xu%252BwxghzaVh9wg%3D%3D" TargetMode="External"/><Relationship Id="rId6" Type="http://schemas.openxmlformats.org/officeDocument/2006/relationships/hyperlink" Target="https://co.mouser.com/ProductDetail/Vishay-Sprague/TR3B106K025C1300?qs=sGAEpiMZZMtZ1n0r9vR22d2Fi%252BnyBujDcFZb0ob9wLY%3D" TargetMode="External"/><Relationship Id="rId5" Type="http://schemas.openxmlformats.org/officeDocument/2006/relationships/hyperlink" Target="https://co.mouser.com/ProductDetail/Vishay-Sprague/293D106X0016B2TE3?qs=sGAEpiMZZMtZ1n0r9vR22R2elOEA%2FoPq2SLpF9uzceU%3D" TargetMode="External"/><Relationship Id="rId4" Type="http://schemas.openxmlformats.org/officeDocument/2006/relationships/hyperlink" Target="https://co.mouser.com/ProductDetail/Texas-Instruments/TL081HIDR?qs=pBJMDPsKWf2IEA%252Bv86wIaw%3D%3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.mouser.com/ProductDetail/Murata-Electronics/GRM21BR60G107ME11L?qs=Ey7%2FXF42M3epBQcj%2F9hW%252BQ%3D%3D" TargetMode="External"/><Relationship Id="rId13" Type="http://schemas.openxmlformats.org/officeDocument/2006/relationships/hyperlink" Target="https://co.mouser.com/ProductDetail/ROHM-Semiconductor/KTR18EZPJ101?qs=sGAEpiMZZMtlubZbdhIBIGrVcSH3vih4n6aco%252BvIOtw%3D" TargetMode="External"/><Relationship Id="rId3" Type="http://schemas.openxmlformats.org/officeDocument/2006/relationships/hyperlink" Target="https://co.mouser.com/ProductDetail/Microchip-Technology/MCP6002-I-SN?qs=cQYLKLPzRJlt69SDaZwGcA%3D%3D" TargetMode="External"/><Relationship Id="rId7" Type="http://schemas.openxmlformats.org/officeDocument/2006/relationships/hyperlink" Target="https://co.mouser.com/ProductDetail/Panasonic/ERA-8AED203V?qs=MNPzkKEzRtRbjpUZ%2F2QFGA%3D%3D" TargetMode="External"/><Relationship Id="rId12" Type="http://schemas.openxmlformats.org/officeDocument/2006/relationships/hyperlink" Target="https://co.mouser.com/ProductDetail/Harwin/M7583-46?qs=7s%252BXa3YB%252ByrDGEF4v%252ByEXg%3D%3D" TargetMode="External"/><Relationship Id="rId2" Type="http://schemas.openxmlformats.org/officeDocument/2006/relationships/hyperlink" Target="https://co.mouser.com/ProductDetail/Analog-Devices-Maxim-Integrated/MAX1044CPA%2b?qs=0Y9aZN%252BMVCXfHpZN39Twfg%3D%3D" TargetMode="External"/><Relationship Id="rId1" Type="http://schemas.openxmlformats.org/officeDocument/2006/relationships/hyperlink" Target="https://co.mouser.com/ProductDetail/Analog-Devices/LTC2644IMS-L12PBF?qs=hVkxg5c3xu%252BwxghzaVh9wg%3D%3D" TargetMode="External"/><Relationship Id="rId6" Type="http://schemas.openxmlformats.org/officeDocument/2006/relationships/hyperlink" Target="https://co.mouser.com/ProductDetail/TAIYO-YUDEN/EMK212BB7106KG-T?qs=sGAEpiMZZMsh%252B1woXyUXjydUYsq5p9fhlVOXgjVbyhU%3D" TargetMode="External"/><Relationship Id="rId11" Type="http://schemas.openxmlformats.org/officeDocument/2006/relationships/hyperlink" Target="https://co.mouser.com/ProductDetail/Amphenol-Anytek/TC0203620000G?qs=sGAEpiMZZMvPvGwLNS671%2FDanv8Jav064A94r%2FM08uUnw66FKOiJMw%3D%3D" TargetMode="External"/><Relationship Id="rId5" Type="http://schemas.openxmlformats.org/officeDocument/2006/relationships/hyperlink" Target="https://co.mouser.com/ProductDetail/KYOCERA-AVX/KAM21BR71H104JT?qs=sGAEpiMZZMukHu%252BjC5l7YcmRMYNDachg8tnLc5V3VCI%3D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co.mouser.com/ProductDetail/Amphenol-FCI/10129379-902004BLF?qs=sGAEpiMZZMvlX3nhDDO4AOl4VJGJbPMjDdh4Jc%2FuIMQ%3D" TargetMode="External"/><Relationship Id="rId4" Type="http://schemas.openxmlformats.org/officeDocument/2006/relationships/hyperlink" Target="https://co.mouser.com/ProductDetail/Texas-Instruments/TL081HIDR?qs=pBJMDPsKWf2IEA%252Bv86wIaw%3D%3D" TargetMode="External"/><Relationship Id="rId9" Type="http://schemas.openxmlformats.org/officeDocument/2006/relationships/hyperlink" Target="https://co.mouser.com/ProductDetail/YAGEO/RT1206FRE0715KL?qs=fd0Ij%252BN8svyW6WTDZBxZXg%3D%3D" TargetMode="External"/><Relationship Id="rId14" Type="http://schemas.openxmlformats.org/officeDocument/2006/relationships/hyperlink" Target="https://co.mouser.com/ProductDetail/YAGEO/RT1206FRE07100RL?qs=8cPjvKtxWv7hPIhtALDV2w%3D%3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.mouser.com/ProductDetail/YAGEO/RT1206FRE0715KL?qs=fd0Ij%252BN8svyW6WTDZBxZXg%3D%3D" TargetMode="External"/><Relationship Id="rId13" Type="http://schemas.openxmlformats.org/officeDocument/2006/relationships/printerSettings" Target="../printerSettings/printerSettings3.bin"/><Relationship Id="rId3" Type="http://schemas.openxmlformats.org/officeDocument/2006/relationships/hyperlink" Target="https://co.mouser.com/ProductDetail/Renesas-Electronics/PS9851-1-F3-AX?qs=CN%252BGnklfK0oKU9JkAbHdMA%3D%3D" TargetMode="External"/><Relationship Id="rId7" Type="http://schemas.openxmlformats.org/officeDocument/2006/relationships/hyperlink" Target="https://co.mouser.com/ProductDetail/Murata-Electronics/GRM21BR60G107ME11L?qs=Ey7%2FXF42M3epBQcj%2F9hW%252BQ%3D%3D" TargetMode="External"/><Relationship Id="rId12" Type="http://schemas.openxmlformats.org/officeDocument/2006/relationships/hyperlink" Target="https://co.mouser.com/ProductDetail/YAGEO/RT1206FRD0710KL?qs=Fz%2FrpjPuTcHnXCbM3bUnCw%3D%3D" TargetMode="External"/><Relationship Id="rId2" Type="http://schemas.openxmlformats.org/officeDocument/2006/relationships/hyperlink" Target="https://co.mouser.com/ProductDetail/Analog-Devices-Maxim-Integrated/MAX1044CPA%2b?qs=0Y9aZN%252BMVCXfHpZN39Twfg%3D%3D" TargetMode="External"/><Relationship Id="rId1" Type="http://schemas.openxmlformats.org/officeDocument/2006/relationships/hyperlink" Target="https://co.mouser.com/ProductDetail/Analog-Devices/LTC2644IMS-L12PBF?qs=hVkxg5c3xu%252BwxghzaVh9wg%3D%3D" TargetMode="External"/><Relationship Id="rId6" Type="http://schemas.openxmlformats.org/officeDocument/2006/relationships/hyperlink" Target="https://co.mouser.com/ProductDetail/TAIYO-YUDEN/EMK212BB7106KG-T?qs=sGAEpiMZZMsh%252B1woXyUXjydUYsq5p9fhlVOXgjVbyhU%3D" TargetMode="External"/><Relationship Id="rId11" Type="http://schemas.openxmlformats.org/officeDocument/2006/relationships/hyperlink" Target="https://co.mouser.com/ProductDetail/Harwin/M7583-46?qs=7s%252BXa3YB%252ByrDGEF4v%252ByEXg%3D%3D" TargetMode="External"/><Relationship Id="rId5" Type="http://schemas.openxmlformats.org/officeDocument/2006/relationships/hyperlink" Target="https://co.mouser.com/ProductDetail/KYOCERA-AVX/KAM21BR71H104JT?qs=sGAEpiMZZMukHu%252BjC5l7YcmRMYNDachg8tnLc5V3VCI%3D" TargetMode="External"/><Relationship Id="rId10" Type="http://schemas.openxmlformats.org/officeDocument/2006/relationships/hyperlink" Target="https://co.mouser.com/ProductDetail/Amphenol-Anytek/TC0203620000G?qs=sGAEpiMZZMvPvGwLNS671%2FDanv8Jav064A94r%2FM08uUnw66FKOiJMw%3D%3D" TargetMode="External"/><Relationship Id="rId4" Type="http://schemas.openxmlformats.org/officeDocument/2006/relationships/hyperlink" Target="https://co.mouser.com/ProductDetail/Texas-Instruments/TL081HIDR?qs=pBJMDPsKWf2IEA%252Bv86wIaw%3D%3D" TargetMode="External"/><Relationship Id="rId9" Type="http://schemas.openxmlformats.org/officeDocument/2006/relationships/hyperlink" Target="https://co.mouser.com/ProductDetail/Amphenol-FCI/10129379-902004BLF?qs=sGAEpiMZZMvlX3nhDDO4AOl4VJGJbPMjDdh4Jc%2FuIMQ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90C3-0CB6-401D-809B-B86530AAA7A0}">
  <dimension ref="A2:N16"/>
  <sheetViews>
    <sheetView zoomScale="160" zoomScaleNormal="160" workbookViewId="0">
      <selection activeCell="B7" sqref="B7:G7"/>
    </sheetView>
  </sheetViews>
  <sheetFormatPr baseColWidth="10" defaultRowHeight="15" x14ac:dyDescent="0.25"/>
  <cols>
    <col min="7" max="7" width="13.28515625" customWidth="1"/>
  </cols>
  <sheetData>
    <row r="2" spans="1:14" ht="28.5" customHeight="1" x14ac:dyDescent="0.25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</row>
    <row r="3" spans="1:14" x14ac:dyDescent="0.25">
      <c r="B3" s="17" t="s">
        <v>1</v>
      </c>
      <c r="C3" s="17"/>
      <c r="D3" s="17"/>
      <c r="E3" s="2" t="s">
        <v>2</v>
      </c>
      <c r="F3" s="2" t="s">
        <v>6</v>
      </c>
      <c r="G3" s="2" t="s">
        <v>3</v>
      </c>
      <c r="H3" s="17" t="s">
        <v>7</v>
      </c>
      <c r="I3" s="17"/>
      <c r="J3" s="16" t="s">
        <v>8</v>
      </c>
      <c r="K3" s="16"/>
      <c r="L3" s="14" t="s">
        <v>9</v>
      </c>
      <c r="M3" s="14"/>
    </row>
    <row r="4" spans="1:14" x14ac:dyDescent="0.25">
      <c r="B4" s="17" t="s">
        <v>5</v>
      </c>
      <c r="C4" s="17"/>
      <c r="D4" s="17"/>
      <c r="E4" s="3">
        <v>2</v>
      </c>
      <c r="F4" s="3">
        <v>1</v>
      </c>
      <c r="G4" s="4">
        <v>33272</v>
      </c>
      <c r="H4" s="18">
        <f>G4*F4</f>
        <v>33272</v>
      </c>
      <c r="I4" s="18"/>
      <c r="J4" s="15">
        <f>G4*E4</f>
        <v>66544</v>
      </c>
      <c r="K4" s="16"/>
      <c r="L4" s="19" t="s">
        <v>10</v>
      </c>
      <c r="M4" s="14"/>
    </row>
    <row r="5" spans="1:14" x14ac:dyDescent="0.25">
      <c r="B5" s="17" t="s">
        <v>11</v>
      </c>
      <c r="C5" s="17"/>
      <c r="D5" s="17"/>
      <c r="E5" s="3">
        <v>1</v>
      </c>
      <c r="F5" s="3">
        <v>1</v>
      </c>
      <c r="G5" s="5">
        <v>22045</v>
      </c>
      <c r="H5" s="18">
        <f t="shared" ref="H5:H8" si="0">G5*F5</f>
        <v>22045</v>
      </c>
      <c r="I5" s="18"/>
      <c r="J5" s="15">
        <f t="shared" ref="J5:J8" si="1">G5*E5</f>
        <v>22045</v>
      </c>
      <c r="K5" s="16"/>
      <c r="L5" s="19" t="s">
        <v>12</v>
      </c>
      <c r="M5" s="14"/>
    </row>
    <row r="6" spans="1:14" x14ac:dyDescent="0.25">
      <c r="B6" s="17" t="s">
        <v>14</v>
      </c>
      <c r="C6" s="17"/>
      <c r="D6" s="17"/>
      <c r="E6" s="3">
        <v>4</v>
      </c>
      <c r="F6" s="3">
        <v>2</v>
      </c>
      <c r="G6" s="5">
        <v>1327</v>
      </c>
      <c r="H6" s="18">
        <f>G6*F6</f>
        <v>2654</v>
      </c>
      <c r="I6" s="18"/>
      <c r="J6" s="15">
        <f>G6*E6</f>
        <v>5308</v>
      </c>
      <c r="K6" s="16"/>
      <c r="L6" s="19" t="s">
        <v>15</v>
      </c>
      <c r="M6" s="14"/>
    </row>
    <row r="7" spans="1:14" x14ac:dyDescent="0.25">
      <c r="B7" s="17" t="s">
        <v>16</v>
      </c>
      <c r="C7" s="17"/>
      <c r="D7" s="17"/>
      <c r="E7" s="3">
        <v>6</v>
      </c>
      <c r="F7" s="3">
        <v>5</v>
      </c>
      <c r="G7" s="5">
        <v>1633</v>
      </c>
      <c r="H7" s="18">
        <f>G7*F7</f>
        <v>8165</v>
      </c>
      <c r="I7" s="18"/>
      <c r="J7" s="15">
        <f>G7*E7</f>
        <v>9798</v>
      </c>
      <c r="K7" s="16"/>
      <c r="L7" s="19" t="s">
        <v>13</v>
      </c>
      <c r="M7" s="14"/>
      <c r="N7" s="1" t="s">
        <v>17</v>
      </c>
    </row>
    <row r="8" spans="1:14" x14ac:dyDescent="0.25">
      <c r="B8" s="17" t="s">
        <v>25</v>
      </c>
      <c r="C8" s="17"/>
      <c r="D8" s="17"/>
      <c r="E8" s="3">
        <v>4</v>
      </c>
      <c r="F8" s="3">
        <v>2</v>
      </c>
      <c r="G8" s="5">
        <v>2143</v>
      </c>
      <c r="H8" s="18">
        <f t="shared" si="0"/>
        <v>4286</v>
      </c>
      <c r="I8" s="18"/>
      <c r="J8" s="15">
        <f t="shared" si="1"/>
        <v>8572</v>
      </c>
      <c r="K8" s="16"/>
      <c r="L8" s="19" t="s">
        <v>18</v>
      </c>
      <c r="M8" s="14"/>
      <c r="N8" s="1" t="s">
        <v>19</v>
      </c>
    </row>
    <row r="9" spans="1:14" x14ac:dyDescent="0.25">
      <c r="B9" s="17" t="s">
        <v>21</v>
      </c>
      <c r="C9" s="17"/>
      <c r="D9" s="17"/>
      <c r="E9" s="3">
        <v>5</v>
      </c>
      <c r="F9" s="3">
        <v>4</v>
      </c>
      <c r="G9" s="5">
        <v>2000</v>
      </c>
      <c r="H9" s="18">
        <f t="shared" ref="H9:H11" si="2">G9*F9</f>
        <v>8000</v>
      </c>
      <c r="I9" s="18"/>
      <c r="J9" s="15">
        <f t="shared" ref="J9:J10" si="3">G9*E9</f>
        <v>10000</v>
      </c>
      <c r="K9" s="16"/>
      <c r="L9" s="14"/>
      <c r="M9" s="14"/>
    </row>
    <row r="10" spans="1:14" x14ac:dyDescent="0.25">
      <c r="B10" s="17" t="s">
        <v>20</v>
      </c>
      <c r="C10" s="17"/>
      <c r="D10" s="17"/>
      <c r="E10" s="3">
        <v>5</v>
      </c>
      <c r="F10" s="3">
        <v>4</v>
      </c>
      <c r="G10" s="5">
        <v>1000</v>
      </c>
      <c r="H10" s="18">
        <f t="shared" si="2"/>
        <v>4000</v>
      </c>
      <c r="I10" s="18"/>
      <c r="J10" s="15">
        <f t="shared" si="3"/>
        <v>5000</v>
      </c>
      <c r="K10" s="16"/>
      <c r="L10" s="14"/>
      <c r="M10" s="14"/>
    </row>
    <row r="11" spans="1:14" x14ac:dyDescent="0.25">
      <c r="A11" t="s">
        <v>23</v>
      </c>
      <c r="B11" s="17" t="s">
        <v>22</v>
      </c>
      <c r="C11" s="17"/>
      <c r="D11" s="17"/>
      <c r="E11" s="3">
        <v>3</v>
      </c>
      <c r="F11" s="3">
        <v>2</v>
      </c>
      <c r="G11" s="5">
        <v>5000</v>
      </c>
      <c r="H11" s="18">
        <f t="shared" si="2"/>
        <v>10000</v>
      </c>
      <c r="I11" s="18"/>
      <c r="J11" s="15">
        <f t="shared" ref="J11:J14" si="4">G11*E11</f>
        <v>15000</v>
      </c>
      <c r="K11" s="16"/>
      <c r="L11" s="14"/>
      <c r="M11" s="14"/>
    </row>
    <row r="12" spans="1:14" x14ac:dyDescent="0.25">
      <c r="B12" s="17"/>
      <c r="C12" s="17"/>
      <c r="D12" s="17"/>
      <c r="E12" s="3">
        <v>0</v>
      </c>
      <c r="F12" s="3">
        <v>0</v>
      </c>
      <c r="G12" s="5">
        <v>5000</v>
      </c>
      <c r="H12" s="18">
        <f t="shared" ref="H12:H14" si="5">G12*F12</f>
        <v>0</v>
      </c>
      <c r="I12" s="18"/>
      <c r="J12" s="15">
        <f t="shared" si="4"/>
        <v>0</v>
      </c>
      <c r="K12" s="16"/>
      <c r="L12" s="14"/>
      <c r="M12" s="14"/>
    </row>
    <row r="13" spans="1:14" x14ac:dyDescent="0.25">
      <c r="B13" s="17"/>
      <c r="C13" s="17"/>
      <c r="D13" s="17"/>
      <c r="E13" s="3">
        <v>0</v>
      </c>
      <c r="F13" s="3">
        <v>0</v>
      </c>
      <c r="G13" s="5">
        <v>5000</v>
      </c>
      <c r="H13" s="18">
        <f t="shared" si="5"/>
        <v>0</v>
      </c>
      <c r="I13" s="18"/>
      <c r="J13" s="15">
        <f t="shared" si="4"/>
        <v>0</v>
      </c>
      <c r="K13" s="16"/>
    </row>
    <row r="14" spans="1:14" x14ac:dyDescent="0.25">
      <c r="B14" s="17"/>
      <c r="C14" s="17"/>
      <c r="D14" s="17"/>
      <c r="E14" s="3">
        <v>0</v>
      </c>
      <c r="F14" s="3">
        <v>0</v>
      </c>
      <c r="G14" s="5">
        <v>5000</v>
      </c>
      <c r="H14" s="18">
        <f t="shared" si="5"/>
        <v>0</v>
      </c>
      <c r="I14" s="18"/>
      <c r="J14" s="15">
        <f t="shared" si="4"/>
        <v>0</v>
      </c>
      <c r="K14" s="16"/>
    </row>
    <row r="15" spans="1:14" x14ac:dyDescent="0.25">
      <c r="B15" s="20" t="s">
        <v>4</v>
      </c>
      <c r="C15" s="21"/>
      <c r="D15" s="21"/>
      <c r="E15" s="21"/>
      <c r="F15" s="21"/>
      <c r="G15" s="22"/>
      <c r="H15" s="15">
        <f>SUM(H4:I14)</f>
        <v>92422</v>
      </c>
      <c r="I15" s="16"/>
      <c r="J15" s="15">
        <f>SUM(J4:K14)</f>
        <v>142267</v>
      </c>
      <c r="K15" s="16"/>
    </row>
    <row r="16" spans="1:14" x14ac:dyDescent="0.25">
      <c r="H16" s="15">
        <f>H15/4</f>
        <v>23105.5</v>
      </c>
      <c r="I16" s="16"/>
      <c r="J16" s="15">
        <f>J15/4</f>
        <v>35566.75</v>
      </c>
      <c r="K16" s="16"/>
    </row>
  </sheetData>
  <mergeCells count="52">
    <mergeCell ref="B11:D11"/>
    <mergeCell ref="H11:I11"/>
    <mergeCell ref="B14:D14"/>
    <mergeCell ref="H14:I14"/>
    <mergeCell ref="B15:G15"/>
    <mergeCell ref="H15:I15"/>
    <mergeCell ref="B12:D12"/>
    <mergeCell ref="H12:I12"/>
    <mergeCell ref="B13:D13"/>
    <mergeCell ref="H13:I13"/>
    <mergeCell ref="L7:M7"/>
    <mergeCell ref="H9:I9"/>
    <mergeCell ref="H10:I10"/>
    <mergeCell ref="J8:K8"/>
    <mergeCell ref="H7:I7"/>
    <mergeCell ref="H8:I8"/>
    <mergeCell ref="J9:K9"/>
    <mergeCell ref="J10:K10"/>
    <mergeCell ref="L8:M8"/>
    <mergeCell ref="L9:M9"/>
    <mergeCell ref="L10:M10"/>
    <mergeCell ref="L3:M3"/>
    <mergeCell ref="L4:M4"/>
    <mergeCell ref="L5:M5"/>
    <mergeCell ref="L6:M6"/>
    <mergeCell ref="J3:K3"/>
    <mergeCell ref="J4:K4"/>
    <mergeCell ref="J5:K5"/>
    <mergeCell ref="J6:K6"/>
    <mergeCell ref="J16:K16"/>
    <mergeCell ref="B2:K2"/>
    <mergeCell ref="H3:I3"/>
    <mergeCell ref="B3:D3"/>
    <mergeCell ref="B4:D4"/>
    <mergeCell ref="B5:D5"/>
    <mergeCell ref="B6:D6"/>
    <mergeCell ref="H4:I4"/>
    <mergeCell ref="H5:I5"/>
    <mergeCell ref="J7:K7"/>
    <mergeCell ref="B7:D7"/>
    <mergeCell ref="H6:I6"/>
    <mergeCell ref="H16:I16"/>
    <mergeCell ref="B8:D8"/>
    <mergeCell ref="B9:D9"/>
    <mergeCell ref="B10:D10"/>
    <mergeCell ref="L11:M11"/>
    <mergeCell ref="L12:M12"/>
    <mergeCell ref="J15:K15"/>
    <mergeCell ref="J14:K14"/>
    <mergeCell ref="J11:K11"/>
    <mergeCell ref="J12:K12"/>
    <mergeCell ref="J13:K13"/>
  </mergeCells>
  <phoneticPr fontId="3" type="noConversion"/>
  <hyperlinks>
    <hyperlink ref="L4" r:id="rId1" xr:uid="{3BABBCC2-3E86-438A-903B-B77144CBEE82}"/>
    <hyperlink ref="L5" r:id="rId2" xr:uid="{266F530F-ABA5-47C0-B792-F4B7F73A8AC4}"/>
    <hyperlink ref="L7" r:id="rId3" xr:uid="{87553E4B-2160-4D5F-9137-C6E484E81AFD}"/>
    <hyperlink ref="L6" r:id="rId4" xr:uid="{C3C120C3-D2B5-44F2-B1CE-30402BD1F833}"/>
    <hyperlink ref="N7" r:id="rId5" xr:uid="{4D660257-F244-4083-B9CF-CB99DD87E8EC}"/>
    <hyperlink ref="L8" r:id="rId6" xr:uid="{AEB12686-25EE-48DA-8AE4-F7A812C14026}"/>
    <hyperlink ref="N8" r:id="rId7" xr:uid="{B736ED5F-E1AC-4A44-B6D1-D21EFA200EAA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63DF-37F5-4E91-98E3-7ADCB67117E8}">
  <dimension ref="B2:N22"/>
  <sheetViews>
    <sheetView zoomScale="160" zoomScaleNormal="160" workbookViewId="0">
      <selection activeCell="L4" sqref="L4:M4"/>
    </sheetView>
  </sheetViews>
  <sheetFormatPr baseColWidth="10" defaultRowHeight="15" x14ac:dyDescent="0.25"/>
  <cols>
    <col min="7" max="7" width="13.28515625" customWidth="1"/>
  </cols>
  <sheetData>
    <row r="2" spans="2:14" ht="28.5" customHeight="1" x14ac:dyDescent="0.25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</row>
    <row r="3" spans="2:14" x14ac:dyDescent="0.25">
      <c r="B3" s="17" t="s">
        <v>1</v>
      </c>
      <c r="C3" s="17"/>
      <c r="D3" s="17"/>
      <c r="E3" s="2" t="s">
        <v>2</v>
      </c>
      <c r="F3" s="2" t="s">
        <v>6</v>
      </c>
      <c r="G3" s="2" t="s">
        <v>3</v>
      </c>
      <c r="H3" s="17" t="s">
        <v>7</v>
      </c>
      <c r="I3" s="17"/>
      <c r="J3" s="16" t="s">
        <v>8</v>
      </c>
      <c r="K3" s="16"/>
      <c r="L3" s="14" t="s">
        <v>9</v>
      </c>
      <c r="M3" s="14"/>
    </row>
    <row r="4" spans="2:14" x14ac:dyDescent="0.25">
      <c r="B4" s="17" t="s">
        <v>5</v>
      </c>
      <c r="C4" s="17"/>
      <c r="D4" s="17"/>
      <c r="E4" s="3">
        <v>2</v>
      </c>
      <c r="F4" s="3">
        <v>1</v>
      </c>
      <c r="G4" s="4">
        <v>33272</v>
      </c>
      <c r="H4" s="18">
        <f>G4*F4</f>
        <v>33272</v>
      </c>
      <c r="I4" s="18"/>
      <c r="J4" s="15">
        <f>G4*E4</f>
        <v>66544</v>
      </c>
      <c r="K4" s="16"/>
      <c r="L4" s="19" t="s">
        <v>10</v>
      </c>
      <c r="M4" s="14"/>
    </row>
    <row r="5" spans="2:14" x14ac:dyDescent="0.25">
      <c r="B5" s="17" t="s">
        <v>11</v>
      </c>
      <c r="C5" s="17"/>
      <c r="D5" s="17"/>
      <c r="E5" s="3">
        <v>1</v>
      </c>
      <c r="F5" s="3">
        <v>1</v>
      </c>
      <c r="G5" s="5">
        <v>22045</v>
      </c>
      <c r="H5" s="18">
        <f t="shared" ref="H5:H8" si="0">G5*F5</f>
        <v>22045</v>
      </c>
      <c r="I5" s="18"/>
      <c r="J5" s="15">
        <f t="shared" ref="J5:J8" si="1">G5*E5</f>
        <v>22045</v>
      </c>
      <c r="K5" s="16"/>
      <c r="L5" s="19" t="s">
        <v>12</v>
      </c>
      <c r="M5" s="14"/>
    </row>
    <row r="6" spans="2:14" x14ac:dyDescent="0.25">
      <c r="B6" s="17" t="s">
        <v>14</v>
      </c>
      <c r="C6" s="17"/>
      <c r="D6" s="17"/>
      <c r="E6" s="3">
        <v>2</v>
      </c>
      <c r="F6" s="3">
        <v>1</v>
      </c>
      <c r="G6" s="5">
        <v>1327</v>
      </c>
      <c r="H6" s="18">
        <f>G6*F6</f>
        <v>1327</v>
      </c>
      <c r="I6" s="18"/>
      <c r="J6" s="15">
        <f>G6*E6</f>
        <v>2654</v>
      </c>
      <c r="K6" s="16"/>
      <c r="L6" s="19" t="s">
        <v>15</v>
      </c>
      <c r="M6" s="14"/>
    </row>
    <row r="7" spans="2:14" x14ac:dyDescent="0.25">
      <c r="B7" s="20" t="s">
        <v>24</v>
      </c>
      <c r="C7" s="21"/>
      <c r="D7" s="22"/>
      <c r="E7" s="3">
        <v>2</v>
      </c>
      <c r="F7" s="3">
        <v>1</v>
      </c>
      <c r="G7" s="5">
        <v>1480</v>
      </c>
      <c r="H7" s="18">
        <f>G7*F7</f>
        <v>1480</v>
      </c>
      <c r="I7" s="18"/>
      <c r="J7" s="15">
        <f>G7*E7</f>
        <v>2960</v>
      </c>
      <c r="K7" s="16"/>
      <c r="L7" s="19" t="s">
        <v>44</v>
      </c>
      <c r="M7" s="14"/>
      <c r="N7" s="1"/>
    </row>
    <row r="8" spans="2:14" x14ac:dyDescent="0.25">
      <c r="B8" s="20" t="s">
        <v>31</v>
      </c>
      <c r="C8" s="21"/>
      <c r="D8" s="22"/>
      <c r="E8" s="3">
        <v>5</v>
      </c>
      <c r="F8" s="3">
        <v>4</v>
      </c>
      <c r="G8" s="5">
        <v>1021</v>
      </c>
      <c r="H8" s="18">
        <f t="shared" si="0"/>
        <v>4084</v>
      </c>
      <c r="I8" s="18"/>
      <c r="J8" s="15">
        <f t="shared" si="1"/>
        <v>5105</v>
      </c>
      <c r="K8" s="16"/>
      <c r="L8" s="19" t="s">
        <v>40</v>
      </c>
      <c r="M8" s="14"/>
      <c r="N8" s="1" t="s">
        <v>19</v>
      </c>
    </row>
    <row r="9" spans="2:14" x14ac:dyDescent="0.25">
      <c r="B9" s="20" t="s">
        <v>30</v>
      </c>
      <c r="C9" s="21"/>
      <c r="D9" s="22"/>
      <c r="E9" s="3">
        <v>3</v>
      </c>
      <c r="F9" s="3">
        <v>2</v>
      </c>
      <c r="G9" s="5">
        <v>2909</v>
      </c>
      <c r="H9" s="25">
        <f t="shared" ref="H9:H18" si="2">G9*F9</f>
        <v>5818</v>
      </c>
      <c r="I9" s="26"/>
      <c r="J9" s="23">
        <f t="shared" ref="J9:J18" si="3">G9*E9</f>
        <v>8727</v>
      </c>
      <c r="K9" s="24"/>
      <c r="L9" s="19" t="s">
        <v>32</v>
      </c>
      <c r="M9" s="14"/>
    </row>
    <row r="10" spans="2:14" x14ac:dyDescent="0.25">
      <c r="B10" s="20" t="s">
        <v>21</v>
      </c>
      <c r="C10" s="21"/>
      <c r="D10" s="22"/>
      <c r="E10" s="3">
        <v>5</v>
      </c>
      <c r="F10" s="3">
        <v>4</v>
      </c>
      <c r="G10" s="5">
        <v>510</v>
      </c>
      <c r="H10" s="25">
        <f t="shared" si="2"/>
        <v>2040</v>
      </c>
      <c r="I10" s="26"/>
      <c r="J10" s="23">
        <f t="shared" si="3"/>
        <v>2550</v>
      </c>
      <c r="K10" s="24"/>
      <c r="L10" s="19" t="s">
        <v>37</v>
      </c>
      <c r="M10" s="14"/>
    </row>
    <row r="11" spans="2:14" x14ac:dyDescent="0.25">
      <c r="B11" s="20" t="s">
        <v>20</v>
      </c>
      <c r="C11" s="21"/>
      <c r="D11" s="22"/>
      <c r="E11" s="3">
        <v>5</v>
      </c>
      <c r="F11" s="3">
        <v>4</v>
      </c>
      <c r="G11" s="5">
        <v>561</v>
      </c>
      <c r="H11" s="25">
        <f t="shared" si="2"/>
        <v>2244</v>
      </c>
      <c r="I11" s="26"/>
      <c r="J11" s="23">
        <f t="shared" si="3"/>
        <v>2805</v>
      </c>
      <c r="K11" s="24"/>
      <c r="L11" s="19" t="s">
        <v>39</v>
      </c>
      <c r="M11" s="14"/>
    </row>
    <row r="12" spans="2:14" x14ac:dyDescent="0.25">
      <c r="B12" s="20" t="s">
        <v>23</v>
      </c>
      <c r="C12" s="21"/>
      <c r="D12" s="22"/>
      <c r="E12" s="3">
        <v>2</v>
      </c>
      <c r="F12" s="3">
        <v>2</v>
      </c>
      <c r="G12" s="5">
        <v>1684</v>
      </c>
      <c r="H12" s="25">
        <f t="shared" si="2"/>
        <v>3368</v>
      </c>
      <c r="I12" s="26"/>
      <c r="J12" s="23">
        <f t="shared" si="3"/>
        <v>3368</v>
      </c>
      <c r="K12" s="24"/>
      <c r="L12" s="19" t="s">
        <v>38</v>
      </c>
      <c r="M12" s="14"/>
    </row>
    <row r="13" spans="2:14" x14ac:dyDescent="0.25">
      <c r="B13" s="20" t="s">
        <v>26</v>
      </c>
      <c r="C13" s="21"/>
      <c r="D13" s="22"/>
      <c r="E13" s="3">
        <v>0</v>
      </c>
      <c r="F13" s="3">
        <v>0</v>
      </c>
      <c r="G13" s="5">
        <v>1072</v>
      </c>
      <c r="H13" s="25">
        <f t="shared" si="2"/>
        <v>0</v>
      </c>
      <c r="I13" s="26"/>
      <c r="J13" s="23">
        <f t="shared" si="3"/>
        <v>0</v>
      </c>
      <c r="K13" s="24"/>
      <c r="L13" s="1" t="s">
        <v>28</v>
      </c>
    </row>
    <row r="14" spans="2:14" x14ac:dyDescent="0.25">
      <c r="B14" s="20" t="s">
        <v>27</v>
      </c>
      <c r="C14" s="21"/>
      <c r="D14" s="22"/>
      <c r="E14" s="3">
        <v>8</v>
      </c>
      <c r="F14" s="3">
        <v>6</v>
      </c>
      <c r="G14" s="5">
        <v>510</v>
      </c>
      <c r="H14" s="25">
        <f t="shared" si="2"/>
        <v>3060</v>
      </c>
      <c r="I14" s="26"/>
      <c r="J14" s="23">
        <f t="shared" si="3"/>
        <v>4080</v>
      </c>
      <c r="K14" s="24"/>
      <c r="L14" s="1" t="s">
        <v>42</v>
      </c>
    </row>
    <row r="15" spans="2:14" x14ac:dyDescent="0.25">
      <c r="B15" s="20" t="s">
        <v>29</v>
      </c>
      <c r="C15" s="21"/>
      <c r="D15" s="22"/>
      <c r="E15" s="3">
        <v>3</v>
      </c>
      <c r="F15" s="3">
        <v>2</v>
      </c>
      <c r="G15" s="5">
        <v>868</v>
      </c>
      <c r="H15" s="25">
        <f t="shared" si="2"/>
        <v>1736</v>
      </c>
      <c r="I15" s="26"/>
      <c r="J15" s="23">
        <f t="shared" si="3"/>
        <v>2604</v>
      </c>
      <c r="K15" s="24"/>
      <c r="L15" s="1" t="s">
        <v>43</v>
      </c>
      <c r="M15" s="1" t="s">
        <v>35</v>
      </c>
    </row>
    <row r="16" spans="2:14" x14ac:dyDescent="0.25">
      <c r="B16" s="20" t="s">
        <v>33</v>
      </c>
      <c r="C16" s="21"/>
      <c r="D16" s="22"/>
      <c r="E16" s="3">
        <v>2</v>
      </c>
      <c r="F16" s="3">
        <v>1</v>
      </c>
      <c r="G16" s="5">
        <v>500</v>
      </c>
      <c r="H16" s="25">
        <f t="shared" si="2"/>
        <v>500</v>
      </c>
      <c r="I16" s="26"/>
      <c r="J16" s="23">
        <f t="shared" si="3"/>
        <v>1000</v>
      </c>
      <c r="K16" s="24"/>
      <c r="L16" s="1" t="s">
        <v>36</v>
      </c>
    </row>
    <row r="17" spans="2:13" x14ac:dyDescent="0.25">
      <c r="B17" s="20" t="s">
        <v>34</v>
      </c>
      <c r="C17" s="21"/>
      <c r="D17" s="22"/>
      <c r="E17" s="3">
        <v>2</v>
      </c>
      <c r="F17" s="3">
        <v>1</v>
      </c>
      <c r="G17" s="5">
        <v>1582</v>
      </c>
      <c r="H17" s="25">
        <f t="shared" si="2"/>
        <v>1582</v>
      </c>
      <c r="I17" s="26"/>
      <c r="J17" s="23">
        <f t="shared" si="3"/>
        <v>3164</v>
      </c>
      <c r="K17" s="24"/>
      <c r="L17" s="1" t="s">
        <v>41</v>
      </c>
    </row>
    <row r="18" spans="2:13" x14ac:dyDescent="0.25">
      <c r="B18" s="20"/>
      <c r="C18" s="21"/>
      <c r="D18" s="22"/>
      <c r="E18" s="3">
        <v>0</v>
      </c>
      <c r="F18" s="3">
        <v>0</v>
      </c>
      <c r="G18" s="5">
        <v>0</v>
      </c>
      <c r="H18" s="25">
        <f t="shared" si="2"/>
        <v>0</v>
      </c>
      <c r="I18" s="26"/>
      <c r="J18" s="23">
        <f t="shared" si="3"/>
        <v>0</v>
      </c>
      <c r="K18" s="24"/>
    </row>
    <row r="19" spans="2:13" x14ac:dyDescent="0.25">
      <c r="B19" s="20" t="s">
        <v>4</v>
      </c>
      <c r="C19" s="21"/>
      <c r="D19" s="21"/>
      <c r="E19" s="21"/>
      <c r="F19" s="21"/>
      <c r="G19" s="22"/>
      <c r="H19" s="15">
        <f>SUM(H4:I17)</f>
        <v>82556</v>
      </c>
      <c r="I19" s="16"/>
      <c r="J19" s="15">
        <f>SUM(J4:K18)</f>
        <v>127606</v>
      </c>
      <c r="K19" s="16"/>
    </row>
    <row r="20" spans="2:13" x14ac:dyDescent="0.25">
      <c r="H20" s="23">
        <f>H19/4</f>
        <v>20639</v>
      </c>
      <c r="I20" s="24"/>
      <c r="J20" s="23">
        <f>J19/4</f>
        <v>31901.5</v>
      </c>
      <c r="K20" s="24"/>
      <c r="M20" s="1"/>
    </row>
    <row r="22" spans="2:13" x14ac:dyDescent="0.25">
      <c r="B22" s="20"/>
      <c r="C22" s="21"/>
      <c r="D22" s="22"/>
      <c r="E22" s="3"/>
      <c r="F22" s="3"/>
      <c r="G22" s="5"/>
    </row>
  </sheetData>
  <mergeCells count="65">
    <mergeCell ref="B13:D13"/>
    <mergeCell ref="H13:I13"/>
    <mergeCell ref="J13:K13"/>
    <mergeCell ref="B14:D14"/>
    <mergeCell ref="H14:I14"/>
    <mergeCell ref="J14:K14"/>
    <mergeCell ref="B11:D11"/>
    <mergeCell ref="H11:I11"/>
    <mergeCell ref="J11:K11"/>
    <mergeCell ref="L11:M11"/>
    <mergeCell ref="B12:D12"/>
    <mergeCell ref="H12:I12"/>
    <mergeCell ref="J12:K12"/>
    <mergeCell ref="L12:M12"/>
    <mergeCell ref="B9:D9"/>
    <mergeCell ref="H9:I9"/>
    <mergeCell ref="J9:K9"/>
    <mergeCell ref="L9:M9"/>
    <mergeCell ref="B10:D10"/>
    <mergeCell ref="H10:I10"/>
    <mergeCell ref="J10:K10"/>
    <mergeCell ref="L10:M10"/>
    <mergeCell ref="H7:I7"/>
    <mergeCell ref="J7:K7"/>
    <mergeCell ref="L7:M7"/>
    <mergeCell ref="B8:D8"/>
    <mergeCell ref="H8:I8"/>
    <mergeCell ref="J8:K8"/>
    <mergeCell ref="L8:M8"/>
    <mergeCell ref="B2:K2"/>
    <mergeCell ref="B3:D3"/>
    <mergeCell ref="H3:I3"/>
    <mergeCell ref="J3:K3"/>
    <mergeCell ref="L3:M3"/>
    <mergeCell ref="B4:D4"/>
    <mergeCell ref="H4:I4"/>
    <mergeCell ref="J4:K4"/>
    <mergeCell ref="L4:M4"/>
    <mergeCell ref="B15:D15"/>
    <mergeCell ref="H15:I15"/>
    <mergeCell ref="J15:K15"/>
    <mergeCell ref="B5:D5"/>
    <mergeCell ref="H5:I5"/>
    <mergeCell ref="J5:K5"/>
    <mergeCell ref="L5:M5"/>
    <mergeCell ref="B6:D6"/>
    <mergeCell ref="H6:I6"/>
    <mergeCell ref="J6:K6"/>
    <mergeCell ref="L6:M6"/>
    <mergeCell ref="B7:D7"/>
    <mergeCell ref="B22:D22"/>
    <mergeCell ref="H20:I20"/>
    <mergeCell ref="J20:K20"/>
    <mergeCell ref="B16:D16"/>
    <mergeCell ref="H16:I16"/>
    <mergeCell ref="J16:K16"/>
    <mergeCell ref="B17:D17"/>
    <mergeCell ref="H17:I17"/>
    <mergeCell ref="J17:K17"/>
    <mergeCell ref="B18:D18"/>
    <mergeCell ref="H18:I18"/>
    <mergeCell ref="J18:K18"/>
    <mergeCell ref="J19:K19"/>
    <mergeCell ref="B19:G19"/>
    <mergeCell ref="H19:I19"/>
  </mergeCells>
  <hyperlinks>
    <hyperlink ref="L4" r:id="rId1" xr:uid="{334269ED-F581-447D-892B-ED2CD5DB0073}"/>
    <hyperlink ref="L5" r:id="rId2" xr:uid="{B82103EC-9385-457B-96D8-2BF5ECCCF602}"/>
    <hyperlink ref="L7" r:id="rId3" xr:uid="{5F2B27D5-A30A-431F-B10A-08117B01C5D6}"/>
    <hyperlink ref="L6" r:id="rId4" xr:uid="{B6B851F9-1B43-45E1-9722-47E9F0A39E40}"/>
    <hyperlink ref="L8" r:id="rId5" xr:uid="{CE1368EA-7448-418C-92A1-84C872821CA8}"/>
    <hyperlink ref="N8" r:id="rId6" xr:uid="{2279269D-8E04-4457-8277-F2F7A0A8A8B2}"/>
    <hyperlink ref="L13" r:id="rId7" xr:uid="{E6BF0ABF-E803-4048-BEEC-2A50715CFA46}"/>
    <hyperlink ref="L9" r:id="rId8" xr:uid="{9DC28B91-2A49-4AD1-901E-940BA426C610}"/>
    <hyperlink ref="L16" r:id="rId9" xr:uid="{D253517F-D4A5-4169-B288-43523F7BB902}"/>
    <hyperlink ref="L10" r:id="rId10" xr:uid="{4E27EF88-A5A0-41D5-8F68-8C0DFF25C1AD}"/>
    <hyperlink ref="L12" r:id="rId11" xr:uid="{E19974C9-A82B-4D40-81C1-118D77E47606}"/>
    <hyperlink ref="L11" r:id="rId12" xr:uid="{57C80FC0-AF0E-49FD-8B15-C33C01BFAA9C}"/>
    <hyperlink ref="M15" r:id="rId13" xr:uid="{1058EB60-4F1A-44B7-B694-D052F3724B25}"/>
    <hyperlink ref="L15" r:id="rId14" xr:uid="{64586D2B-D00F-48A4-B703-B581ED55B26E}"/>
  </hyperlinks>
  <pageMargins left="0.7" right="0.7" top="0.75" bottom="0.75" header="0.3" footer="0.3"/>
  <pageSetup orientation="portrait"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6854-5A8B-4469-9A8F-C9B7CCE3AF0F}">
  <dimension ref="B2:N22"/>
  <sheetViews>
    <sheetView tabSelected="1" topLeftCell="A5" zoomScale="160" zoomScaleNormal="160" workbookViewId="0">
      <selection activeCell="H4" sqref="H4:I4"/>
    </sheetView>
  </sheetViews>
  <sheetFormatPr baseColWidth="10" defaultRowHeight="15" x14ac:dyDescent="0.25"/>
  <cols>
    <col min="5" max="5" width="0" hidden="1" customWidth="1"/>
    <col min="7" max="7" width="13.28515625" customWidth="1"/>
  </cols>
  <sheetData>
    <row r="2" spans="2:14" ht="28.5" customHeight="1" x14ac:dyDescent="0.25">
      <c r="B2" s="20" t="s">
        <v>0</v>
      </c>
      <c r="C2" s="21"/>
      <c r="D2" s="21"/>
      <c r="E2" s="21"/>
      <c r="F2" s="21"/>
      <c r="G2" s="21"/>
      <c r="H2" s="21"/>
      <c r="I2" s="22"/>
      <c r="J2" s="2"/>
      <c r="K2" s="2"/>
    </row>
    <row r="3" spans="2:14" x14ac:dyDescent="0.25">
      <c r="B3" s="17" t="s">
        <v>1</v>
      </c>
      <c r="C3" s="17"/>
      <c r="D3" s="17"/>
      <c r="E3" s="3" t="s">
        <v>2</v>
      </c>
      <c r="F3" s="3" t="s">
        <v>6</v>
      </c>
      <c r="G3" s="3" t="s">
        <v>3</v>
      </c>
      <c r="H3" s="17" t="s">
        <v>7</v>
      </c>
      <c r="I3" s="17"/>
      <c r="J3" s="17" t="s">
        <v>8</v>
      </c>
      <c r="K3" s="17"/>
      <c r="L3" s="14" t="s">
        <v>9</v>
      </c>
      <c r="M3" s="14"/>
    </row>
    <row r="4" spans="2:14" x14ac:dyDescent="0.25">
      <c r="B4" s="17" t="s">
        <v>5</v>
      </c>
      <c r="C4" s="17"/>
      <c r="D4" s="17"/>
      <c r="E4" s="3">
        <v>2</v>
      </c>
      <c r="F4" s="3">
        <v>1</v>
      </c>
      <c r="G4" s="8">
        <v>33450</v>
      </c>
      <c r="H4" s="18">
        <f>G4*F4</f>
        <v>33450</v>
      </c>
      <c r="I4" s="18"/>
      <c r="J4" s="18">
        <f>G4*E4</f>
        <v>66900</v>
      </c>
      <c r="K4" s="17"/>
      <c r="L4" s="19" t="s">
        <v>10</v>
      </c>
      <c r="M4" s="14"/>
    </row>
    <row r="5" spans="2:14" x14ac:dyDescent="0.25">
      <c r="B5" s="17" t="s">
        <v>11</v>
      </c>
      <c r="C5" s="17"/>
      <c r="D5" s="17"/>
      <c r="E5" s="3">
        <v>2</v>
      </c>
      <c r="F5" s="3">
        <v>1</v>
      </c>
      <c r="G5" s="5">
        <v>20208</v>
      </c>
      <c r="H5" s="18">
        <f t="shared" ref="H5:H12" si="0">G5*F5</f>
        <v>20208</v>
      </c>
      <c r="I5" s="18"/>
      <c r="J5" s="18">
        <f t="shared" ref="J5:J12" si="1">G5*E5</f>
        <v>40416</v>
      </c>
      <c r="K5" s="17"/>
      <c r="L5" s="19" t="s">
        <v>12</v>
      </c>
      <c r="M5" s="14"/>
    </row>
    <row r="6" spans="2:14" x14ac:dyDescent="0.25">
      <c r="B6" s="17" t="s">
        <v>14</v>
      </c>
      <c r="C6" s="17"/>
      <c r="D6" s="17"/>
      <c r="E6" s="3">
        <v>2</v>
      </c>
      <c r="F6" s="3">
        <v>1</v>
      </c>
      <c r="G6" s="5">
        <v>1327</v>
      </c>
      <c r="H6" s="18">
        <f>G6*F6</f>
        <v>1327</v>
      </c>
      <c r="I6" s="18"/>
      <c r="J6" s="18">
        <f>G6*E6</f>
        <v>2654</v>
      </c>
      <c r="K6" s="17"/>
      <c r="L6" s="19" t="s">
        <v>15</v>
      </c>
      <c r="M6" s="14"/>
    </row>
    <row r="7" spans="2:14" x14ac:dyDescent="0.25">
      <c r="B7" s="20" t="s">
        <v>46</v>
      </c>
      <c r="C7" s="21"/>
      <c r="D7" s="22"/>
      <c r="E7" s="3">
        <v>2</v>
      </c>
      <c r="F7" s="3">
        <v>1</v>
      </c>
      <c r="G7" s="5">
        <v>18116</v>
      </c>
      <c r="H7" s="18">
        <f>G7*F7</f>
        <v>18116</v>
      </c>
      <c r="I7" s="18"/>
      <c r="J7" s="18">
        <f>G7*E7</f>
        <v>36232</v>
      </c>
      <c r="K7" s="17"/>
      <c r="L7" s="19" t="s">
        <v>45</v>
      </c>
      <c r="M7" s="14"/>
      <c r="N7" s="1"/>
    </row>
    <row r="8" spans="2:14" x14ac:dyDescent="0.25">
      <c r="B8" s="20" t="s">
        <v>31</v>
      </c>
      <c r="C8" s="21"/>
      <c r="D8" s="22"/>
      <c r="E8" s="3">
        <v>3</v>
      </c>
      <c r="F8" s="3">
        <v>2</v>
      </c>
      <c r="G8" s="5">
        <v>1021</v>
      </c>
      <c r="H8" s="18">
        <f t="shared" si="0"/>
        <v>2042</v>
      </c>
      <c r="I8" s="18"/>
      <c r="J8" s="18">
        <f t="shared" si="1"/>
        <v>3063</v>
      </c>
      <c r="K8" s="17"/>
      <c r="L8" s="19" t="s">
        <v>40</v>
      </c>
      <c r="M8" s="14"/>
      <c r="N8" s="1" t="s">
        <v>19</v>
      </c>
    </row>
    <row r="9" spans="2:14" x14ac:dyDescent="0.25">
      <c r="B9" s="20" t="s">
        <v>30</v>
      </c>
      <c r="C9" s="21"/>
      <c r="D9" s="22"/>
      <c r="E9" s="3">
        <v>3</v>
      </c>
      <c r="F9" s="3">
        <v>2</v>
      </c>
      <c r="G9" s="5">
        <v>2909</v>
      </c>
      <c r="H9" s="25">
        <f t="shared" si="0"/>
        <v>5818</v>
      </c>
      <c r="I9" s="26"/>
      <c r="J9" s="25">
        <f t="shared" si="1"/>
        <v>8727</v>
      </c>
      <c r="K9" s="26"/>
      <c r="L9" s="19" t="s">
        <v>32</v>
      </c>
      <c r="M9" s="14"/>
    </row>
    <row r="10" spans="2:14" x14ac:dyDescent="0.25">
      <c r="B10" s="20" t="s">
        <v>21</v>
      </c>
      <c r="C10" s="21"/>
      <c r="D10" s="22"/>
      <c r="E10" s="3">
        <v>6</v>
      </c>
      <c r="F10" s="3">
        <v>7</v>
      </c>
      <c r="G10" s="5">
        <v>510</v>
      </c>
      <c r="H10" s="25">
        <f t="shared" si="0"/>
        <v>3570</v>
      </c>
      <c r="I10" s="26"/>
      <c r="J10" s="25">
        <f t="shared" si="1"/>
        <v>3060</v>
      </c>
      <c r="K10" s="26"/>
      <c r="L10" s="19" t="s">
        <v>37</v>
      </c>
      <c r="M10" s="14"/>
    </row>
    <row r="11" spans="2:14" x14ac:dyDescent="0.25">
      <c r="B11" s="20" t="s">
        <v>20</v>
      </c>
      <c r="C11" s="21"/>
      <c r="D11" s="22"/>
      <c r="E11" s="3">
        <v>6</v>
      </c>
      <c r="F11" s="3">
        <v>5</v>
      </c>
      <c r="G11" s="5">
        <v>561</v>
      </c>
      <c r="H11" s="25">
        <f t="shared" si="0"/>
        <v>2805</v>
      </c>
      <c r="I11" s="26"/>
      <c r="J11" s="25">
        <f t="shared" si="1"/>
        <v>3366</v>
      </c>
      <c r="K11" s="26"/>
      <c r="L11" s="19" t="s">
        <v>39</v>
      </c>
      <c r="M11" s="14"/>
    </row>
    <row r="12" spans="2:14" x14ac:dyDescent="0.25">
      <c r="B12" s="20" t="s">
        <v>23</v>
      </c>
      <c r="C12" s="21"/>
      <c r="D12" s="22"/>
      <c r="E12" s="3">
        <v>2</v>
      </c>
      <c r="F12" s="3">
        <v>2</v>
      </c>
      <c r="G12" s="5">
        <v>1684</v>
      </c>
      <c r="H12" s="25">
        <f t="shared" si="0"/>
        <v>3368</v>
      </c>
      <c r="I12" s="26"/>
      <c r="J12" s="25">
        <f t="shared" si="1"/>
        <v>3368</v>
      </c>
      <c r="K12" s="26"/>
      <c r="L12" s="19" t="s">
        <v>38</v>
      </c>
      <c r="M12" s="14"/>
    </row>
    <row r="13" spans="2:14" x14ac:dyDescent="0.25">
      <c r="B13" s="20" t="s">
        <v>27</v>
      </c>
      <c r="C13" s="21"/>
      <c r="D13" s="22"/>
      <c r="E13" s="3">
        <v>6</v>
      </c>
      <c r="F13" s="3">
        <v>5</v>
      </c>
      <c r="G13" s="5">
        <v>510</v>
      </c>
      <c r="H13" s="25">
        <f>G13*F13</f>
        <v>2550</v>
      </c>
      <c r="I13" s="26"/>
      <c r="J13" s="25">
        <f>G13*E13</f>
        <v>3060</v>
      </c>
      <c r="K13" s="26"/>
      <c r="L13" s="1" t="s">
        <v>42</v>
      </c>
    </row>
    <row r="14" spans="2:14" x14ac:dyDescent="0.25">
      <c r="B14" s="17" t="s">
        <v>4</v>
      </c>
      <c r="C14" s="17"/>
      <c r="D14" s="17"/>
      <c r="E14" s="17"/>
      <c r="F14" s="17"/>
      <c r="G14" s="17"/>
      <c r="H14" s="18">
        <f>SUM(H4:I13)</f>
        <v>93254</v>
      </c>
      <c r="I14" s="17"/>
      <c r="J14" s="18">
        <f>SUM(J4:K13)</f>
        <v>170846</v>
      </c>
      <c r="K14" s="17"/>
    </row>
    <row r="15" spans="2:14" hidden="1" x14ac:dyDescent="0.25">
      <c r="B15" s="16" t="s">
        <v>49</v>
      </c>
      <c r="C15" s="16"/>
      <c r="D15" s="16"/>
      <c r="E15" s="9"/>
      <c r="F15" s="16">
        <v>4</v>
      </c>
      <c r="G15" s="16"/>
      <c r="H15" s="29">
        <f>H14/4</f>
        <v>23313.5</v>
      </c>
      <c r="I15" s="29"/>
      <c r="J15" s="23">
        <f>J14/4</f>
        <v>42711.5</v>
      </c>
      <c r="K15" s="24"/>
      <c r="M15" s="1"/>
    </row>
    <row r="16" spans="2:14" x14ac:dyDescent="0.25">
      <c r="B16" s="25" t="s">
        <v>52</v>
      </c>
      <c r="C16" s="26"/>
      <c r="D16" s="13">
        <v>82000</v>
      </c>
      <c r="E16" s="10"/>
      <c r="F16" s="25" t="s">
        <v>51</v>
      </c>
      <c r="G16" s="26"/>
      <c r="H16" s="35">
        <f>H14-D16</f>
        <v>11254</v>
      </c>
      <c r="I16" s="35"/>
      <c r="J16" s="23">
        <f>H16/F15</f>
        <v>2813.5</v>
      </c>
      <c r="K16" s="24"/>
      <c r="L16" s="1" t="s">
        <v>36</v>
      </c>
    </row>
    <row r="17" spans="2:12" hidden="1" x14ac:dyDescent="0.25">
      <c r="B17" s="16" t="s">
        <v>49</v>
      </c>
      <c r="C17" s="16"/>
      <c r="D17" s="16"/>
      <c r="E17" s="9"/>
      <c r="F17" s="16">
        <v>4</v>
      </c>
      <c r="G17" s="16"/>
      <c r="H17" s="34">
        <f>H16/F15</f>
        <v>2813.5</v>
      </c>
      <c r="I17" s="34"/>
      <c r="J17" s="23">
        <f>H17</f>
        <v>2813.5</v>
      </c>
      <c r="K17" s="24"/>
      <c r="L17" s="1" t="s">
        <v>41</v>
      </c>
    </row>
    <row r="18" spans="2:12" x14ac:dyDescent="0.25">
      <c r="B18" s="18" t="s">
        <v>47</v>
      </c>
      <c r="C18" s="18"/>
      <c r="D18" s="18"/>
      <c r="E18" s="18"/>
      <c r="F18" s="18"/>
      <c r="G18" s="18"/>
      <c r="H18" s="18">
        <v>250000</v>
      </c>
      <c r="I18" s="18"/>
      <c r="J18" s="6">
        <f>G18*E18</f>
        <v>0</v>
      </c>
      <c r="K18" s="7"/>
    </row>
    <row r="19" spans="2:12" x14ac:dyDescent="0.25">
      <c r="B19" s="20" t="s">
        <v>48</v>
      </c>
      <c r="C19" s="21"/>
      <c r="D19" s="22"/>
      <c r="E19" s="3"/>
      <c r="F19" s="20">
        <v>7</v>
      </c>
      <c r="G19" s="22"/>
      <c r="H19" s="25">
        <f>H18/F19</f>
        <v>35714.285714285717</v>
      </c>
      <c r="I19" s="26"/>
      <c r="J19" s="6">
        <f>G19*E19</f>
        <v>0</v>
      </c>
      <c r="K19" s="7"/>
    </row>
    <row r="20" spans="2:12" x14ac:dyDescent="0.25">
      <c r="B20" s="20" t="s">
        <v>50</v>
      </c>
      <c r="C20" s="21"/>
      <c r="D20" s="21"/>
      <c r="E20" s="21"/>
      <c r="F20" s="21"/>
      <c r="G20" s="22"/>
      <c r="H20" s="27">
        <f>H19+H16</f>
        <v>46968.285714285717</v>
      </c>
      <c r="I20" s="28"/>
    </row>
    <row r="21" spans="2:12" x14ac:dyDescent="0.25">
      <c r="B21" s="16" t="s">
        <v>53</v>
      </c>
      <c r="C21" s="16"/>
      <c r="D21" s="16"/>
      <c r="E21" s="16"/>
      <c r="F21" s="16"/>
      <c r="G21" s="16"/>
      <c r="H21" s="29">
        <f>H19/4+H17</f>
        <v>11742.071428571429</v>
      </c>
      <c r="I21" s="30"/>
    </row>
    <row r="22" spans="2:12" x14ac:dyDescent="0.25">
      <c r="B22" s="31"/>
      <c r="C22" s="32"/>
      <c r="D22" s="33"/>
      <c r="E22" s="11"/>
      <c r="F22" s="11"/>
      <c r="G22" s="12"/>
    </row>
  </sheetData>
  <mergeCells count="69">
    <mergeCell ref="H4:I4"/>
    <mergeCell ref="J4:K4"/>
    <mergeCell ref="L4:M4"/>
    <mergeCell ref="B3:D3"/>
    <mergeCell ref="H3:I3"/>
    <mergeCell ref="J3:K3"/>
    <mergeCell ref="L3:M3"/>
    <mergeCell ref="J5:K5"/>
    <mergeCell ref="L5:M5"/>
    <mergeCell ref="B6:D6"/>
    <mergeCell ref="H6:I6"/>
    <mergeCell ref="J6:K6"/>
    <mergeCell ref="L6:M6"/>
    <mergeCell ref="J7:K7"/>
    <mergeCell ref="L7:M7"/>
    <mergeCell ref="B8:D8"/>
    <mergeCell ref="H8:I8"/>
    <mergeCell ref="J8:K8"/>
    <mergeCell ref="L8:M8"/>
    <mergeCell ref="J9:K9"/>
    <mergeCell ref="L9:M9"/>
    <mergeCell ref="B10:D10"/>
    <mergeCell ref="H10:I10"/>
    <mergeCell ref="J10:K10"/>
    <mergeCell ref="L10:M10"/>
    <mergeCell ref="J11:K11"/>
    <mergeCell ref="L11:M11"/>
    <mergeCell ref="B12:D12"/>
    <mergeCell ref="H12:I12"/>
    <mergeCell ref="J12:K12"/>
    <mergeCell ref="L12:M12"/>
    <mergeCell ref="J13:K13"/>
    <mergeCell ref="H16:I16"/>
    <mergeCell ref="J16:K16"/>
    <mergeCell ref="B14:G14"/>
    <mergeCell ref="H14:I14"/>
    <mergeCell ref="J14:K14"/>
    <mergeCell ref="H15:I15"/>
    <mergeCell ref="J15:K15"/>
    <mergeCell ref="B15:D15"/>
    <mergeCell ref="F15:G15"/>
    <mergeCell ref="B16:C16"/>
    <mergeCell ref="F16:G16"/>
    <mergeCell ref="B22:D22"/>
    <mergeCell ref="B17:D17"/>
    <mergeCell ref="H17:I17"/>
    <mergeCell ref="J17:K17"/>
    <mergeCell ref="H18:I18"/>
    <mergeCell ref="H19:I19"/>
    <mergeCell ref="F17:G17"/>
    <mergeCell ref="B18:G18"/>
    <mergeCell ref="B19:D19"/>
    <mergeCell ref="F19:G19"/>
    <mergeCell ref="B20:G20"/>
    <mergeCell ref="H20:I20"/>
    <mergeCell ref="B21:G21"/>
    <mergeCell ref="H21:I21"/>
    <mergeCell ref="B2:I2"/>
    <mergeCell ref="B13:D13"/>
    <mergeCell ref="H13:I13"/>
    <mergeCell ref="B11:D11"/>
    <mergeCell ref="H11:I11"/>
    <mergeCell ref="B9:D9"/>
    <mergeCell ref="H9:I9"/>
    <mergeCell ref="B7:D7"/>
    <mergeCell ref="H7:I7"/>
    <mergeCell ref="B5:D5"/>
    <mergeCell ref="H5:I5"/>
    <mergeCell ref="B4:D4"/>
  </mergeCells>
  <hyperlinks>
    <hyperlink ref="L4" r:id="rId1" xr:uid="{18CD5E98-F315-49AA-9C2E-20515CC9BC5A}"/>
    <hyperlink ref="L5" r:id="rId2" xr:uid="{C2BAE3B0-F9B4-4B75-9F42-A81FCF7B5FAB}"/>
    <hyperlink ref="L7" r:id="rId3" xr:uid="{0FAD93C7-1EC7-4CE1-A9F6-07619E367E8C}"/>
    <hyperlink ref="L6" r:id="rId4" xr:uid="{31020B37-3398-4124-A33D-F90A0D114C7E}"/>
    <hyperlink ref="L8" r:id="rId5" xr:uid="{55B4CF30-81C0-4A49-B0F6-EBCC07AC7250}"/>
    <hyperlink ref="N8" r:id="rId6" xr:uid="{1D8BC06B-E611-4C56-BE11-717B7D880E58}"/>
    <hyperlink ref="L9" r:id="rId7" xr:uid="{A3FA25B6-A3B6-419A-BED3-F0513A330681}"/>
    <hyperlink ref="L16" r:id="rId8" xr:uid="{A22D142B-2380-4E34-AE4D-24AB479D3B57}"/>
    <hyperlink ref="L10" r:id="rId9" xr:uid="{256C5499-51ED-42BE-B9E3-EECE665515F4}"/>
    <hyperlink ref="L12" r:id="rId10" xr:uid="{C316A515-7F19-4A78-BACB-51F226AE9435}"/>
    <hyperlink ref="L11" r:id="rId11" xr:uid="{35E9AE1E-F5C8-40A4-AAE7-3EA3DCB08527}"/>
    <hyperlink ref="L13" r:id="rId12" xr:uid="{AEE7E7E4-21C5-472E-8103-AB5618939752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Hoja1 (2)</vt:lpstr>
      <vt:lpstr>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jerez</dc:creator>
  <cp:lastModifiedBy>GERSON SANCHEZ</cp:lastModifiedBy>
  <dcterms:created xsi:type="dcterms:W3CDTF">2025-04-05T01:02:38Z</dcterms:created>
  <dcterms:modified xsi:type="dcterms:W3CDTF">2025-05-20T18:37:18Z</dcterms:modified>
</cp:coreProperties>
</file>